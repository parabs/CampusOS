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rab\Projects\CAMPUSOS\Documentation\"/>
    </mc:Choice>
  </mc:AlternateContent>
  <xr:revisionPtr revIDLastSave="0" documentId="8_{F30F9C25-7337-4659-A704-A7AD94DC9456}" xr6:coauthVersionLast="47" xr6:coauthVersionMax="47" xr10:uidLastSave="{00000000-0000-0000-0000-000000000000}"/>
  <bookViews>
    <workbookView xWindow="-108" yWindow="-108" windowWidth="23256" windowHeight="12456" activeTab="5" xr2:uid="{0C39D6C9-D74B-4224-8CD0-33ACC90EC4BE}"/>
  </bookViews>
  <sheets>
    <sheet name="Sheet1" sheetId="1" r:id="rId1"/>
    <sheet name="Sheet5" sheetId="5" r:id="rId2"/>
    <sheet name="Sheet2" sheetId="2" r:id="rId3"/>
    <sheet name="Prompt" sheetId="3" r:id="rId4"/>
    <sheet name="list" sheetId="4" r:id="rId5"/>
    <sheet name="Sheet3" sheetId="7" r:id="rId6"/>
    <sheet name="competion" sheetId="6" r:id="rId7"/>
  </sheets>
  <definedNames>
    <definedName name="_xlnm._FilterDatabase" localSheetId="5" hidden="1">Sheet3!$A$1:$E$50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4" l="1"/>
  <c r="K27" i="4" s="1"/>
  <c r="J29" i="4"/>
  <c r="J28" i="4"/>
  <c r="B2" i="3"/>
  <c r="E10" i="1"/>
  <c r="E9" i="1"/>
  <c r="E7" i="1"/>
  <c r="E3" i="1"/>
  <c r="E4" i="1"/>
  <c r="E5" i="1"/>
  <c r="E2" i="1"/>
</calcChain>
</file>

<file path=xl/sharedStrings.xml><?xml version="1.0" encoding="utf-8"?>
<sst xmlns="http://schemas.openxmlformats.org/spreadsheetml/2006/main" count="429" uniqueCount="214">
  <si>
    <t>SEO</t>
  </si>
  <si>
    <t>PM INR</t>
  </si>
  <si>
    <t>www.seoptimer.com</t>
  </si>
  <si>
    <t>Free also gives good results</t>
  </si>
  <si>
    <t>https://rankmath.com/tools/seo-analyzer/</t>
  </si>
  <si>
    <t>https://seomator.com/free-seo-audit-tool</t>
  </si>
  <si>
    <t>Free also gives good results. But it is based on projects</t>
  </si>
  <si>
    <t>https://www.semrush.com/siteaudit/</t>
  </si>
  <si>
    <t>https://chatgpt.com/g/g-6a6c7d8744b08191827112391d15903b-campus-os-college-website-analyzer</t>
  </si>
  <si>
    <t>URL</t>
  </si>
  <si>
    <t>Score</t>
  </si>
  <si>
    <t>Status</t>
  </si>
  <si>
    <t>Comments</t>
  </si>
  <si>
    <t>https://www.apcollege.in/</t>
  </si>
  <si>
    <t>Name</t>
  </si>
  <si>
    <t>Anjuman-I-Islam's Akbar Peerbhoy College of Commerce &amp; Economics</t>
  </si>
  <si>
    <t>SimilarWeb</t>
  </si>
  <si>
    <t>SEMrush</t>
  </si>
  <si>
    <t>Site Similar</t>
  </si>
  <si>
    <t>Google PageSpeed Insights</t>
  </si>
  <si>
    <t>Tool</t>
  </si>
  <si>
    <t>Free Tier</t>
  </si>
  <si>
    <t>Best For</t>
  </si>
  <si>
    <t>✅ Free (limited)</t>
  </si>
  <si>
    <t>Traffic benchmarking</t>
  </si>
  <si>
    <t>✅ Free</t>
  </si>
  <si>
    <t>Finding comparable colleges</t>
  </si>
  <si>
    <t>SEO SpyGlass</t>
  </si>
  <si>
    <t>🟡 Freemium</t>
  </si>
  <si>
    <t>SEO comparison</t>
  </si>
  <si>
    <t>Complete SEO comparison</t>
  </si>
  <si>
    <t>Ahrefs</t>
  </si>
  <si>
    <t>❌ Paid</t>
  </si>
  <si>
    <t>Advanced SEO</t>
  </si>
  <si>
    <t>Ubersuggest</t>
  </si>
  <si>
    <t>SEO benchmarking</t>
  </si>
  <si>
    <t>MozBar</t>
  </si>
  <si>
    <t>Quick checks</t>
  </si>
  <si>
    <t>SEO Bench</t>
  </si>
  <si>
    <t>Pingdom</t>
  </si>
  <si>
    <t>Performance benchmarking</t>
  </si>
  <si>
    <t>Performance comparison</t>
  </si>
  <si>
    <t>Core Web Vitals</t>
  </si>
  <si>
    <t>Free</t>
  </si>
  <si>
    <t>https://www.similarweb.com/</t>
  </si>
  <si>
    <t>https://www.sitesimilar.com/</t>
  </si>
  <si>
    <t>https://www.link-assistant.com/seo-spyglass/</t>
  </si>
  <si>
    <t>https://www.semrush.com/</t>
  </si>
  <si>
    <t>https://ahrefs.com/</t>
  </si>
  <si>
    <t>https://neilpatel.com/ubersuggest/</t>
  </si>
  <si>
    <t>https://moz.com/products/pro/seo-toolbar</t>
  </si>
  <si>
    <t>https://seobench.co/</t>
  </si>
  <si>
    <t>https://tools.pingdom.com/</t>
  </si>
  <si>
    <t>https://pagespeed.web.dev/</t>
  </si>
  <si>
    <t>GTmetrix</t>
  </si>
  <si>
    <t>https://gtmetrix.com/</t>
  </si>
  <si>
    <t>Sitelike</t>
  </si>
  <si>
    <t>https://www.sitelike.org/</t>
  </si>
  <si>
    <t>Find similar sites</t>
  </si>
  <si>
    <t>Alexa (now part of SimilarWeb)</t>
  </si>
  <si>
    <t>Traffic comparison</t>
  </si>
  <si>
    <t>OpenSiteExplorer</t>
  </si>
  <si>
    <t>https://moz.com/link-explorer</t>
  </si>
  <si>
    <t>Backlink comparison</t>
  </si>
  <si>
    <t>Small SEO Tools</t>
  </si>
  <si>
    <t>https://smallseotools.com/</t>
  </si>
  <si>
    <t>Multiple SEO tools</t>
  </si>
  <si>
    <t>Closed</t>
  </si>
  <si>
    <t>https://smallseotools.com/backlink-checker/</t>
  </si>
  <si>
    <t>https://smallseotools.com/website-seo-score-checker/</t>
  </si>
  <si>
    <t>working</t>
  </si>
  <si>
    <t>https://shmutha.org/</t>
  </si>
  <si>
    <t>Seth Hirachand Mutha College</t>
  </si>
  <si>
    <t xml:space="preserve">Failed </t>
  </si>
  <si>
    <t>Not passed</t>
  </si>
  <si>
    <t>Already have good presence</t>
  </si>
  <si>
    <t>https://hillspringjuniorcollege.in/</t>
  </si>
  <si>
    <t>hill spring international junior college</t>
  </si>
  <si>
    <t>T S Public School and College</t>
  </si>
  <si>
    <t>Passed</t>
  </si>
  <si>
    <t>No web presence</t>
  </si>
  <si>
    <t>https://gcer.ac.in/</t>
  </si>
  <si>
    <t>Gurukrupa College of Education &amp; Research</t>
  </si>
  <si>
    <t>https://ldsonawanecollege.com/</t>
  </si>
  <si>
    <t>L. D. Sonawane College, Kalyan</t>
  </si>
  <si>
    <t>https://lourdesschoolkalyan.org/</t>
  </si>
  <si>
    <t>https://thedreamseducation.com/</t>
  </si>
  <si>
    <t>https://abuzzwebtech.com/</t>
  </si>
  <si>
    <t>https://www.nopaperforms.com/</t>
  </si>
  <si>
    <t>https://www.kamaladevicollege.com/</t>
  </si>
  <si>
    <t>Sr no</t>
  </si>
  <si>
    <t>https://modelcollegekalyan.in/</t>
  </si>
  <si>
    <t>Going to other home page iwin</t>
  </si>
  <si>
    <t>https://quadruplesys.com/</t>
  </si>
  <si>
    <t>https://askteknologies.in/</t>
  </si>
  <si>
    <t>https://sankalpacs.com/</t>
  </si>
  <si>
    <t>https://kmagrawalcollege.org/</t>
  </si>
  <si>
    <t>https://ssmbedcollege.com/</t>
  </si>
  <si>
    <t>https://regalcollegekalyan.in/</t>
  </si>
  <si>
    <t>Surju Singh Memorial College</t>
  </si>
  <si>
    <t>https://achieversccm.ac.in/</t>
  </si>
  <si>
    <t>Failed</t>
  </si>
  <si>
    <t>failed</t>
  </si>
  <si>
    <t>https://www.acscollege.in/</t>
  </si>
  <si>
    <t>https://www.chmcollege.in/</t>
  </si>
  <si>
    <t>Latest technology and maintenance is requreid</t>
  </si>
  <si>
    <t>https://mkdc.in/</t>
  </si>
  <si>
    <t>https://aryabhattacollege.ac.in/</t>
  </si>
  <si>
    <t>Nutan Dnyan Mandir Marathi Medium School</t>
  </si>
  <si>
    <t>PAssed</t>
  </si>
  <si>
    <t>No Website</t>
  </si>
  <si>
    <t>https://blossominternationalschool.in/</t>
  </si>
  <si>
    <t>https://www.thevanischool.org/</t>
  </si>
  <si>
    <t>https://stjudeshighschool.com/</t>
  </si>
  <si>
    <t>Adarsh Hindi High School Rambaug Kalyan</t>
  </si>
  <si>
    <t>no wen\baite</t>
  </si>
  <si>
    <t>Heaven Bell Convent School, Shirgaon, Badlapur</t>
  </si>
  <si>
    <t>https://www.sdmedu.org/</t>
  </si>
  <si>
    <t>https://jansevaacsc.in/</t>
  </si>
  <si>
    <t>Bhimrao Pradhan College of Arts, Science and Commerce</t>
  </si>
  <si>
    <t>https://www.yashodeepcop.com/</t>
  </si>
  <si>
    <t>YASHODEEP COLLEGE OF PHARMACY, SARALGAON.</t>
  </si>
  <si>
    <t>https://bedshivle.org/</t>
  </si>
  <si>
    <t>College of Education (B.Ed) Shivle</t>
  </si>
  <si>
    <t xml:space="preserve">VIDYA.M.H.S.J.C. SHIVALE </t>
  </si>
  <si>
    <t>https://coasaralgaon.com/</t>
  </si>
  <si>
    <t>https://siddharthbedcollege.edu.in/</t>
  </si>
  <si>
    <t>SIDDHARTH B.Ed. COLLEGE</t>
  </si>
  <si>
    <t>#</t>
  </si>
  <si>
    <t>College Name</t>
  </si>
  <si>
    <t>Location</t>
  </si>
  <si>
    <t>Why Priority</t>
  </si>
  <si>
    <t>Kalyan</t>
  </si>
  <si>
    <t>No website → Build from scratch</t>
  </si>
  <si>
    <t>No website</t>
  </si>
  <si>
    <t>Adarsh Hindi High School Rambaug</t>
  </si>
  <si>
    <t>Heaven Bell Convent School</t>
  </si>
  <si>
    <t>Badlapur</t>
  </si>
  <si>
    <t>Bhimrao Pradhan College</t>
  </si>
  <si>
    <t>Vidya M.H.S.J.C. Shivale</t>
  </si>
  <si>
    <t>Shivale</t>
  </si>
  <si>
    <t>Ganesh Vidyalaya Kalwa</t>
  </si>
  <si>
    <t>Kalwa</t>
  </si>
  <si>
    <t>K. V. Kanya Vidyalay</t>
  </si>
  <si>
    <t>Panvel</t>
  </si>
  <si>
    <t>Shri Sant Saibaba Vidyalaya</t>
  </si>
  <si>
    <t>H. V. Patil Vidyalaya</t>
  </si>
  <si>
    <t>Thane</t>
  </si>
  <si>
    <t>Maharashtra Vidyalaya</t>
  </si>
  <si>
    <t>Bramhan Vidyalaya</t>
  </si>
  <si>
    <t>Sanket Vidyalaya</t>
  </si>
  <si>
    <t>Akbar Peerbhoy College</t>
  </si>
  <si>
    <t>apcollege.in</t>
  </si>
  <si>
    <t>Poor SEO, outdated design</t>
  </si>
  <si>
    <t>Gurukrupa College</t>
  </si>
  <si>
    <t>gcer.ac.in</t>
  </si>
  <si>
    <t>Needs modernization</t>
  </si>
  <si>
    <t>L. D. Sonawane College</t>
  </si>
  <si>
    <t>ldsonawanecollege.com</t>
  </si>
  <si>
    <t>Needs redesign</t>
  </si>
  <si>
    <t>ACS College</t>
  </si>
  <si>
    <t>acscollege.in</t>
  </si>
  <si>
    <t>Needs SEO optimization</t>
  </si>
  <si>
    <t>MKD College</t>
  </si>
  <si>
    <t>mkdc.in</t>
  </si>
  <si>
    <t>Aryabhatta College</t>
  </si>
  <si>
    <t>aryabhattacollege.ac.in</t>
  </si>
  <si>
    <t>Needs complete overhaul</t>
  </si>
  <si>
    <t>The Vani School</t>
  </si>
  <si>
    <t>thevanischool.org</t>
  </si>
  <si>
    <t>St. Jude's High School</t>
  </si>
  <si>
    <t>stjudeshighschool.in</t>
  </si>
  <si>
    <t>SDM Education Society</t>
  </si>
  <si>
    <t>sdmedu.org</t>
  </si>
  <si>
    <t>Needs SEO</t>
  </si>
  <si>
    <t>Yashodeep College of Pharmacy</t>
  </si>
  <si>
    <t>yashodeepcop.com</t>
  </si>
  <si>
    <t>bedshivle.org</t>
  </si>
  <si>
    <t>COAS Aralgaon</t>
  </si>
  <si>
    <t>coasaralgaon.com</t>
  </si>
  <si>
    <t>S.V. Joshi High School</t>
  </si>
  <si>
    <t>svjdombivli.org</t>
  </si>
  <si>
    <t>SVNC College</t>
  </si>
  <si>
    <t>svnc.ac.in</t>
  </si>
  <si>
    <t>Rajarshi Shahu College</t>
  </si>
  <si>
    <t>rajarshishahuedu.com</t>
  </si>
  <si>
    <t>IES College</t>
  </si>
  <si>
    <t>ies.edu</t>
  </si>
  <si>
    <t>Saraswati English Medium School</t>
  </si>
  <si>
    <t>smtthane.org</t>
  </si>
  <si>
    <t>The Saraswati Mandir Trust</t>
  </si>
  <si>
    <t>smtthane.in</t>
  </si>
  <si>
    <t>VPM Dahisar</t>
  </si>
  <si>
    <t>vpmdahisar.com</t>
  </si>
  <si>
    <t>Already has good presence</t>
  </si>
  <si>
    <t>Hill Spring International Junior College</t>
  </si>
  <si>
    <t>Lourdes School Kalyan</t>
  </si>
  <si>
    <t>The Dreams Education</t>
  </si>
  <si>
    <t>Kamaladevi College</t>
  </si>
  <si>
    <t>Sankalp ACS</t>
  </si>
  <si>
    <t>KM Agrawal College</t>
  </si>
  <si>
    <t>Regal College Kalyan</t>
  </si>
  <si>
    <t>Achievers CCM</t>
  </si>
  <si>
    <t>CHM College</t>
  </si>
  <si>
    <t>Latest technology and maintenance required</t>
  </si>
  <si>
    <t>Blossom International School</t>
  </si>
  <si>
    <t>Janseva ACS</t>
  </si>
  <si>
    <t>Siddharth B.Ed College</t>
  </si>
  <si>
    <t>Saraswati Vidyalaya CBSE School</t>
  </si>
  <si>
    <t>https://www.svptsaraswati.com/CBSE-School-Thane/index.html</t>
  </si>
  <si>
    <t>Model College Kalyan</t>
  </si>
  <si>
    <t>✅ PASSED</t>
  </si>
  <si>
    <t>Phase 1</t>
  </si>
  <si>
    <t>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</si>
</sst>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right" vertical="center" wrapText="1" indent="1"/>
    </xf>
    <xf numFmtId="0" fontId="1" fillId="2" borderId="0" xfId="1" applyFill="1" applyAlignment="1">
      <alignment horizontal="right" vertical="center" wrapText="1" indent="1"/>
    </xf>
    <xf numFmtId="0" fontId="3" fillId="2" borderId="0" xfId="0" applyFont="1" applyFill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mrush.com/siteaudit/" TargetMode="External"/><Relationship Id="rId2" Type="http://schemas.openxmlformats.org/officeDocument/2006/relationships/hyperlink" Target="https://seomator.com/free-seo-audit-tool" TargetMode="External"/><Relationship Id="rId1" Type="http://schemas.openxmlformats.org/officeDocument/2006/relationships/hyperlink" Target="https://rankmath.com/tools/seo-analyzer/" TargetMode="External"/><Relationship Id="rId5" Type="http://schemas.openxmlformats.org/officeDocument/2006/relationships/hyperlink" Target="https://smallseotools.com/website-seo-score-checker/" TargetMode="External"/><Relationship Id="rId4" Type="http://schemas.openxmlformats.org/officeDocument/2006/relationships/hyperlink" Target="https://smallseotools.com/backlink-checker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obench.co/" TargetMode="External"/><Relationship Id="rId13" Type="http://schemas.openxmlformats.org/officeDocument/2006/relationships/hyperlink" Target="https://www.similarweb.com/" TargetMode="External"/><Relationship Id="rId3" Type="http://schemas.openxmlformats.org/officeDocument/2006/relationships/hyperlink" Target="https://www.link-assistant.com/seo-spyglass/" TargetMode="External"/><Relationship Id="rId7" Type="http://schemas.openxmlformats.org/officeDocument/2006/relationships/hyperlink" Target="https://moz.com/products/pro/seo-toolbar" TargetMode="External"/><Relationship Id="rId12" Type="http://schemas.openxmlformats.org/officeDocument/2006/relationships/hyperlink" Target="https://www.sitelike.org/" TargetMode="External"/><Relationship Id="rId2" Type="http://schemas.openxmlformats.org/officeDocument/2006/relationships/hyperlink" Target="https://www.sitesimilar.com/" TargetMode="External"/><Relationship Id="rId1" Type="http://schemas.openxmlformats.org/officeDocument/2006/relationships/hyperlink" Target="https://www.similarweb.com/" TargetMode="External"/><Relationship Id="rId6" Type="http://schemas.openxmlformats.org/officeDocument/2006/relationships/hyperlink" Target="https://neilpatel.com/ubersuggest/" TargetMode="External"/><Relationship Id="rId11" Type="http://schemas.openxmlformats.org/officeDocument/2006/relationships/hyperlink" Target="https://gtmetrix.com/" TargetMode="External"/><Relationship Id="rId5" Type="http://schemas.openxmlformats.org/officeDocument/2006/relationships/hyperlink" Target="https://ahrefs.com/" TargetMode="External"/><Relationship Id="rId15" Type="http://schemas.openxmlformats.org/officeDocument/2006/relationships/hyperlink" Target="https://smallseotools.com/" TargetMode="External"/><Relationship Id="rId10" Type="http://schemas.openxmlformats.org/officeDocument/2006/relationships/hyperlink" Target="https://pagespeed.web.dev/" TargetMode="External"/><Relationship Id="rId4" Type="http://schemas.openxmlformats.org/officeDocument/2006/relationships/hyperlink" Target="https://www.semrush.com/" TargetMode="External"/><Relationship Id="rId9" Type="http://schemas.openxmlformats.org/officeDocument/2006/relationships/hyperlink" Target="https://tools.pingdom.com/" TargetMode="External"/><Relationship Id="rId14" Type="http://schemas.openxmlformats.org/officeDocument/2006/relationships/hyperlink" Target="https://moz.com/link-explore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hatgpt.com/g/g-6a6c7d8744b08191827112391d15903b-campus-os-college-website-analyzer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maladevicollege.com/" TargetMode="External"/><Relationship Id="rId13" Type="http://schemas.openxmlformats.org/officeDocument/2006/relationships/hyperlink" Target="https://regalcollegekalyan.in/" TargetMode="External"/><Relationship Id="rId18" Type="http://schemas.openxmlformats.org/officeDocument/2006/relationships/hyperlink" Target="https://mkdc.in/" TargetMode="External"/><Relationship Id="rId26" Type="http://schemas.openxmlformats.org/officeDocument/2006/relationships/hyperlink" Target="https://bedshivle.org/" TargetMode="External"/><Relationship Id="rId3" Type="http://schemas.openxmlformats.org/officeDocument/2006/relationships/hyperlink" Target="https://hillspringjuniorcollege.in/" TargetMode="External"/><Relationship Id="rId21" Type="http://schemas.openxmlformats.org/officeDocument/2006/relationships/hyperlink" Target="https://www.thevanischool.org/" TargetMode="External"/><Relationship Id="rId7" Type="http://schemas.openxmlformats.org/officeDocument/2006/relationships/hyperlink" Target="https://thedreamseducation.com/" TargetMode="External"/><Relationship Id="rId12" Type="http://schemas.openxmlformats.org/officeDocument/2006/relationships/hyperlink" Target="https://ssmbedcollege.com/" TargetMode="External"/><Relationship Id="rId17" Type="http://schemas.openxmlformats.org/officeDocument/2006/relationships/hyperlink" Target="https://gcer.ac.in/" TargetMode="External"/><Relationship Id="rId25" Type="http://schemas.openxmlformats.org/officeDocument/2006/relationships/hyperlink" Target="https://www.yashodeepcop.com/" TargetMode="External"/><Relationship Id="rId2" Type="http://schemas.openxmlformats.org/officeDocument/2006/relationships/hyperlink" Target="https://shmutha.org/" TargetMode="External"/><Relationship Id="rId16" Type="http://schemas.openxmlformats.org/officeDocument/2006/relationships/hyperlink" Target="https://www.chmcollege.in/" TargetMode="External"/><Relationship Id="rId20" Type="http://schemas.openxmlformats.org/officeDocument/2006/relationships/hyperlink" Target="https://blossominternationalschool.in/" TargetMode="External"/><Relationship Id="rId1" Type="http://schemas.openxmlformats.org/officeDocument/2006/relationships/hyperlink" Target="https://www.apcollege.in/" TargetMode="External"/><Relationship Id="rId6" Type="http://schemas.openxmlformats.org/officeDocument/2006/relationships/hyperlink" Target="https://lourdesschoolkalyan.org/" TargetMode="External"/><Relationship Id="rId11" Type="http://schemas.openxmlformats.org/officeDocument/2006/relationships/hyperlink" Target="https://kmagrawalcollege.org/" TargetMode="External"/><Relationship Id="rId24" Type="http://schemas.openxmlformats.org/officeDocument/2006/relationships/hyperlink" Target="https://jansevaacsc.in/" TargetMode="External"/><Relationship Id="rId5" Type="http://schemas.openxmlformats.org/officeDocument/2006/relationships/hyperlink" Target="https://ldsonawanecollege.com/" TargetMode="External"/><Relationship Id="rId15" Type="http://schemas.openxmlformats.org/officeDocument/2006/relationships/hyperlink" Target="https://www.acscollege.in/" TargetMode="External"/><Relationship Id="rId23" Type="http://schemas.openxmlformats.org/officeDocument/2006/relationships/hyperlink" Target="https://www.sdmedu.org/" TargetMode="External"/><Relationship Id="rId28" Type="http://schemas.openxmlformats.org/officeDocument/2006/relationships/hyperlink" Target="https://siddharthbedcollege.edu.in/" TargetMode="External"/><Relationship Id="rId10" Type="http://schemas.openxmlformats.org/officeDocument/2006/relationships/hyperlink" Target="https://sankalpacs.com/" TargetMode="External"/><Relationship Id="rId19" Type="http://schemas.openxmlformats.org/officeDocument/2006/relationships/hyperlink" Target="https://aryabhattacollege.ac.in/" TargetMode="External"/><Relationship Id="rId4" Type="http://schemas.openxmlformats.org/officeDocument/2006/relationships/hyperlink" Target="https://gcer.ac.in/" TargetMode="External"/><Relationship Id="rId9" Type="http://schemas.openxmlformats.org/officeDocument/2006/relationships/hyperlink" Target="https://modelcollegekalyan.in/" TargetMode="External"/><Relationship Id="rId14" Type="http://schemas.openxmlformats.org/officeDocument/2006/relationships/hyperlink" Target="https://achieversccm.ac.in/" TargetMode="External"/><Relationship Id="rId22" Type="http://schemas.openxmlformats.org/officeDocument/2006/relationships/hyperlink" Target="https://stjudeshighschool.com/" TargetMode="External"/><Relationship Id="rId27" Type="http://schemas.openxmlformats.org/officeDocument/2006/relationships/hyperlink" Target="https://coasaralgaon.com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vpmdahisar.com/" TargetMode="External"/><Relationship Id="rId18" Type="http://schemas.openxmlformats.org/officeDocument/2006/relationships/hyperlink" Target="https://blossominternationalschool.in/" TargetMode="External"/><Relationship Id="rId26" Type="http://schemas.openxmlformats.org/officeDocument/2006/relationships/hyperlink" Target="https://thedreamseducation.com/" TargetMode="External"/><Relationship Id="rId3" Type="http://schemas.openxmlformats.org/officeDocument/2006/relationships/hyperlink" Target="https://sdmedu.org/" TargetMode="External"/><Relationship Id="rId21" Type="http://schemas.openxmlformats.org/officeDocument/2006/relationships/hyperlink" Target="https://regalcollegekalyan.in/" TargetMode="External"/><Relationship Id="rId34" Type="http://schemas.openxmlformats.org/officeDocument/2006/relationships/hyperlink" Target="https://gcer.ac.in/" TargetMode="External"/><Relationship Id="rId7" Type="http://schemas.openxmlformats.org/officeDocument/2006/relationships/hyperlink" Target="https://svjdombivli.org/" TargetMode="External"/><Relationship Id="rId12" Type="http://schemas.openxmlformats.org/officeDocument/2006/relationships/hyperlink" Target="https://smtthane.in/" TargetMode="External"/><Relationship Id="rId17" Type="http://schemas.openxmlformats.org/officeDocument/2006/relationships/hyperlink" Target="https://modelcollegekalyan.in/" TargetMode="External"/><Relationship Id="rId25" Type="http://schemas.openxmlformats.org/officeDocument/2006/relationships/hyperlink" Target="https://www.kamaladevicollege.com/" TargetMode="External"/><Relationship Id="rId33" Type="http://schemas.openxmlformats.org/officeDocument/2006/relationships/hyperlink" Target="https://ldsonawanecollege.com/" TargetMode="External"/><Relationship Id="rId2" Type="http://schemas.openxmlformats.org/officeDocument/2006/relationships/hyperlink" Target="https://stjudeshighschool.in/" TargetMode="External"/><Relationship Id="rId16" Type="http://schemas.openxmlformats.org/officeDocument/2006/relationships/hyperlink" Target="https://www.svptsaraswati.com/CBSE-School-Thane/index.html" TargetMode="External"/><Relationship Id="rId20" Type="http://schemas.openxmlformats.org/officeDocument/2006/relationships/hyperlink" Target="https://achieversccm.ac.in/" TargetMode="External"/><Relationship Id="rId29" Type="http://schemas.openxmlformats.org/officeDocument/2006/relationships/hyperlink" Target="https://shmutha.org/" TargetMode="External"/><Relationship Id="rId1" Type="http://schemas.openxmlformats.org/officeDocument/2006/relationships/hyperlink" Target="https://thevanischool.org/" TargetMode="External"/><Relationship Id="rId6" Type="http://schemas.openxmlformats.org/officeDocument/2006/relationships/hyperlink" Target="https://coasaralgaon.com/" TargetMode="External"/><Relationship Id="rId11" Type="http://schemas.openxmlformats.org/officeDocument/2006/relationships/hyperlink" Target="https://smtthane.org/" TargetMode="External"/><Relationship Id="rId24" Type="http://schemas.openxmlformats.org/officeDocument/2006/relationships/hyperlink" Target="https://sankalpacs.com/" TargetMode="External"/><Relationship Id="rId32" Type="http://schemas.openxmlformats.org/officeDocument/2006/relationships/hyperlink" Target="https://acscollege.in/" TargetMode="External"/><Relationship Id="rId5" Type="http://schemas.openxmlformats.org/officeDocument/2006/relationships/hyperlink" Target="https://bedshivle.org/" TargetMode="External"/><Relationship Id="rId15" Type="http://schemas.openxmlformats.org/officeDocument/2006/relationships/hyperlink" Target="https://siddharthbedcollege.edu.in/" TargetMode="External"/><Relationship Id="rId23" Type="http://schemas.openxmlformats.org/officeDocument/2006/relationships/hyperlink" Target="https://kmagrawalcollege.org/" TargetMode="External"/><Relationship Id="rId28" Type="http://schemas.openxmlformats.org/officeDocument/2006/relationships/hyperlink" Target="https://hillspringjuniorcollege.in/" TargetMode="External"/><Relationship Id="rId10" Type="http://schemas.openxmlformats.org/officeDocument/2006/relationships/hyperlink" Target="https://ies.edu/" TargetMode="External"/><Relationship Id="rId19" Type="http://schemas.openxmlformats.org/officeDocument/2006/relationships/hyperlink" Target="https://www.chmcollege.in/" TargetMode="External"/><Relationship Id="rId31" Type="http://schemas.openxmlformats.org/officeDocument/2006/relationships/hyperlink" Target="https://mkdc.in/" TargetMode="External"/><Relationship Id="rId4" Type="http://schemas.openxmlformats.org/officeDocument/2006/relationships/hyperlink" Target="https://yashodeepcop.com/" TargetMode="External"/><Relationship Id="rId9" Type="http://schemas.openxmlformats.org/officeDocument/2006/relationships/hyperlink" Target="https://rajarshishahuedu.com/" TargetMode="External"/><Relationship Id="rId14" Type="http://schemas.openxmlformats.org/officeDocument/2006/relationships/hyperlink" Target="https://jansevaacsc.in/" TargetMode="External"/><Relationship Id="rId22" Type="http://schemas.openxmlformats.org/officeDocument/2006/relationships/hyperlink" Target="https://ssmbedcollege.com/" TargetMode="External"/><Relationship Id="rId27" Type="http://schemas.openxmlformats.org/officeDocument/2006/relationships/hyperlink" Target="https://lourdesschoolkalyan.org/" TargetMode="External"/><Relationship Id="rId30" Type="http://schemas.openxmlformats.org/officeDocument/2006/relationships/hyperlink" Target="https://aryabhattacollege.ac.in/" TargetMode="External"/><Relationship Id="rId35" Type="http://schemas.openxmlformats.org/officeDocument/2006/relationships/hyperlink" Target="https://apcollege.in/" TargetMode="External"/><Relationship Id="rId8" Type="http://schemas.openxmlformats.org/officeDocument/2006/relationships/hyperlink" Target="https://svnc.ac.in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quadruplesys.com/" TargetMode="External"/><Relationship Id="rId2" Type="http://schemas.openxmlformats.org/officeDocument/2006/relationships/hyperlink" Target="https://www.nopaperforms.com/" TargetMode="External"/><Relationship Id="rId1" Type="http://schemas.openxmlformats.org/officeDocument/2006/relationships/hyperlink" Target="https://abuzzwebtech.com/" TargetMode="External"/><Relationship Id="rId4" Type="http://schemas.openxmlformats.org/officeDocument/2006/relationships/hyperlink" Target="https://askteknologies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E4B3C-1D18-4234-B871-3C201BCD5A92}">
  <dimension ref="B1:G21"/>
  <sheetViews>
    <sheetView workbookViewId="0">
      <selection activeCell="G19" sqref="G19"/>
    </sheetView>
  </sheetViews>
  <sheetFormatPr defaultRowHeight="14.4" x14ac:dyDescent="0.3"/>
  <cols>
    <col min="3" max="3" width="18" bestFit="1" customWidth="1"/>
  </cols>
  <sheetData>
    <row r="1" spans="2:7" x14ac:dyDescent="0.3">
      <c r="E1" t="s">
        <v>1</v>
      </c>
    </row>
    <row r="2" spans="2:7" x14ac:dyDescent="0.3">
      <c r="B2" t="s">
        <v>0</v>
      </c>
      <c r="C2" s="1" t="s">
        <v>7</v>
      </c>
      <c r="D2">
        <v>155</v>
      </c>
      <c r="E2">
        <f>D2*90</f>
        <v>13950</v>
      </c>
    </row>
    <row r="3" spans="2:7" x14ac:dyDescent="0.3">
      <c r="B3" t="s">
        <v>0</v>
      </c>
      <c r="C3" t="s">
        <v>2</v>
      </c>
      <c r="D3">
        <v>59</v>
      </c>
      <c r="E3">
        <f>D3*90</f>
        <v>5310</v>
      </c>
      <c r="F3" t="s">
        <v>3</v>
      </c>
    </row>
    <row r="4" spans="2:7" x14ac:dyDescent="0.3">
      <c r="C4" s="1" t="s">
        <v>4</v>
      </c>
      <c r="D4">
        <v>60</v>
      </c>
      <c r="E4">
        <f>D4*90</f>
        <v>5400</v>
      </c>
    </row>
    <row r="5" spans="2:7" x14ac:dyDescent="0.3">
      <c r="C5" s="1" t="s">
        <v>5</v>
      </c>
      <c r="D5">
        <v>200</v>
      </c>
      <c r="E5">
        <f>D5*90</f>
        <v>18000</v>
      </c>
      <c r="F5" t="s">
        <v>6</v>
      </c>
    </row>
    <row r="7" spans="2:7" x14ac:dyDescent="0.3">
      <c r="C7" t="s">
        <v>16</v>
      </c>
      <c r="D7">
        <v>400</v>
      </c>
      <c r="E7">
        <f>D7*90</f>
        <v>36000</v>
      </c>
      <c r="F7" t="s">
        <v>24</v>
      </c>
      <c r="G7" t="s">
        <v>44</v>
      </c>
    </row>
    <row r="8" spans="2:7" x14ac:dyDescent="0.3">
      <c r="B8" t="s">
        <v>67</v>
      </c>
      <c r="C8" t="s">
        <v>18</v>
      </c>
      <c r="D8" t="s">
        <v>43</v>
      </c>
      <c r="F8" t="s">
        <v>26</v>
      </c>
      <c r="G8" t="s">
        <v>45</v>
      </c>
    </row>
    <row r="9" spans="2:7" x14ac:dyDescent="0.3">
      <c r="C9" t="s">
        <v>27</v>
      </c>
      <c r="D9">
        <v>50</v>
      </c>
      <c r="E9">
        <f>D9*90</f>
        <v>4500</v>
      </c>
      <c r="F9" t="s">
        <v>29</v>
      </c>
      <c r="G9" t="s">
        <v>46</v>
      </c>
    </row>
    <row r="10" spans="2:7" x14ac:dyDescent="0.3">
      <c r="C10" t="s">
        <v>31</v>
      </c>
      <c r="D10">
        <v>250</v>
      </c>
      <c r="E10">
        <f>D10*90</f>
        <v>22500</v>
      </c>
      <c r="F10" t="s">
        <v>33</v>
      </c>
      <c r="G10" t="s">
        <v>48</v>
      </c>
    </row>
    <row r="11" spans="2:7" x14ac:dyDescent="0.3">
      <c r="C11" t="s">
        <v>34</v>
      </c>
      <c r="F11" t="s">
        <v>35</v>
      </c>
      <c r="G11" t="s">
        <v>49</v>
      </c>
    </row>
    <row r="12" spans="2:7" x14ac:dyDescent="0.3">
      <c r="C12" t="s">
        <v>36</v>
      </c>
      <c r="F12" t="s">
        <v>37</v>
      </c>
      <c r="G12" t="s">
        <v>50</v>
      </c>
    </row>
    <row r="13" spans="2:7" x14ac:dyDescent="0.3">
      <c r="B13" t="s">
        <v>67</v>
      </c>
      <c r="C13" t="s">
        <v>38</v>
      </c>
      <c r="D13" t="s">
        <v>43</v>
      </c>
      <c r="F13" t="s">
        <v>35</v>
      </c>
      <c r="G13" t="s">
        <v>51</v>
      </c>
    </row>
    <row r="14" spans="2:7" x14ac:dyDescent="0.3">
      <c r="B14" t="s">
        <v>70</v>
      </c>
      <c r="C14" t="s">
        <v>39</v>
      </c>
      <c r="F14" t="s">
        <v>40</v>
      </c>
      <c r="G14" t="s">
        <v>52</v>
      </c>
    </row>
    <row r="15" spans="2:7" x14ac:dyDescent="0.3">
      <c r="C15" t="s">
        <v>19</v>
      </c>
      <c r="D15" t="s">
        <v>43</v>
      </c>
      <c r="F15" t="s">
        <v>42</v>
      </c>
      <c r="G15" t="s">
        <v>53</v>
      </c>
    </row>
    <row r="16" spans="2:7" x14ac:dyDescent="0.3">
      <c r="C16" t="s">
        <v>54</v>
      </c>
      <c r="D16" t="s">
        <v>43</v>
      </c>
      <c r="F16" t="s">
        <v>41</v>
      </c>
      <c r="G16" t="s">
        <v>55</v>
      </c>
    </row>
    <row r="17" spans="3:7" x14ac:dyDescent="0.3">
      <c r="C17" t="s">
        <v>56</v>
      </c>
      <c r="D17" t="s">
        <v>43</v>
      </c>
      <c r="F17" t="s">
        <v>58</v>
      </c>
      <c r="G17" t="s">
        <v>57</v>
      </c>
    </row>
    <row r="18" spans="3:7" x14ac:dyDescent="0.3">
      <c r="C18" t="s">
        <v>61</v>
      </c>
      <c r="F18" t="s">
        <v>63</v>
      </c>
      <c r="G18" t="s">
        <v>62</v>
      </c>
    </row>
    <row r="19" spans="3:7" x14ac:dyDescent="0.3">
      <c r="C19" t="s">
        <v>64</v>
      </c>
      <c r="D19" t="s">
        <v>43</v>
      </c>
      <c r="F19" t="s">
        <v>66</v>
      </c>
      <c r="G19" t="s">
        <v>65</v>
      </c>
    </row>
    <row r="20" spans="3:7" x14ac:dyDescent="0.3">
      <c r="G20" s="1" t="s">
        <v>68</v>
      </c>
    </row>
    <row r="21" spans="3:7" x14ac:dyDescent="0.3">
      <c r="G21" s="1" t="s">
        <v>69</v>
      </c>
    </row>
  </sheetData>
  <hyperlinks>
    <hyperlink ref="C4" r:id="rId1" xr:uid="{26023799-04D9-48AD-960D-B87C82DD9104}"/>
    <hyperlink ref="C5" r:id="rId2" xr:uid="{F4495292-7F64-4833-A2DF-0F782CF237A0}"/>
    <hyperlink ref="C2" r:id="rId3" xr:uid="{96D29F5A-B438-455A-81B6-18E96EF03B57}"/>
    <hyperlink ref="G20" r:id="rId4" xr:uid="{9039FFA1-EFC9-4487-B746-940670C5C5E5}"/>
    <hyperlink ref="G21" r:id="rId5" xr:uid="{D4BE48FC-79F6-4CCE-B89E-0F0C2C18081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A143-2A66-4A12-AA6D-DC9E784B0BE3}">
  <dimension ref="A1:D16"/>
  <sheetViews>
    <sheetView workbookViewId="0">
      <selection sqref="A1:D16"/>
    </sheetView>
  </sheetViews>
  <sheetFormatPr defaultRowHeight="14.4" x14ac:dyDescent="0.3"/>
  <sheetData>
    <row r="1" spans="1:4" x14ac:dyDescent="0.3">
      <c r="A1" s="2" t="s">
        <v>20</v>
      </c>
      <c r="B1" s="2" t="s">
        <v>9</v>
      </c>
      <c r="C1" s="2" t="s">
        <v>21</v>
      </c>
      <c r="D1" s="2" t="s">
        <v>22</v>
      </c>
    </row>
    <row r="2" spans="1:4" ht="57.6" x14ac:dyDescent="0.3">
      <c r="A2" s="3" t="s">
        <v>16</v>
      </c>
      <c r="B2" s="4" t="s">
        <v>44</v>
      </c>
      <c r="C2" s="5" t="s">
        <v>23</v>
      </c>
      <c r="D2" s="5" t="s">
        <v>24</v>
      </c>
    </row>
    <row r="3" spans="1:4" ht="57.6" x14ac:dyDescent="0.3">
      <c r="A3" s="3" t="s">
        <v>18</v>
      </c>
      <c r="B3" s="4" t="s">
        <v>45</v>
      </c>
      <c r="C3" s="5" t="s">
        <v>25</v>
      </c>
      <c r="D3" s="5" t="s">
        <v>26</v>
      </c>
    </row>
    <row r="4" spans="1:4" ht="115.2" x14ac:dyDescent="0.3">
      <c r="A4" s="3" t="s">
        <v>27</v>
      </c>
      <c r="B4" s="4" t="s">
        <v>46</v>
      </c>
      <c r="C4" s="5" t="s">
        <v>28</v>
      </c>
      <c r="D4" s="5" t="s">
        <v>29</v>
      </c>
    </row>
    <row r="5" spans="1:4" ht="57.6" x14ac:dyDescent="0.3">
      <c r="A5" s="3" t="s">
        <v>17</v>
      </c>
      <c r="B5" s="4" t="s">
        <v>47</v>
      </c>
      <c r="C5" s="5" t="s">
        <v>28</v>
      </c>
      <c r="D5" s="5" t="s">
        <v>30</v>
      </c>
    </row>
    <row r="6" spans="1:4" ht="43.2" x14ac:dyDescent="0.3">
      <c r="A6" s="3" t="s">
        <v>31</v>
      </c>
      <c r="B6" s="4" t="s">
        <v>48</v>
      </c>
      <c r="C6" s="5" t="s">
        <v>32</v>
      </c>
      <c r="D6" s="5" t="s">
        <v>33</v>
      </c>
    </row>
    <row r="7" spans="1:4" ht="72" x14ac:dyDescent="0.3">
      <c r="A7" s="3" t="s">
        <v>34</v>
      </c>
      <c r="B7" s="4" t="s">
        <v>49</v>
      </c>
      <c r="C7" s="5" t="s">
        <v>28</v>
      </c>
      <c r="D7" s="5" t="s">
        <v>35</v>
      </c>
    </row>
    <row r="8" spans="1:4" ht="86.4" x14ac:dyDescent="0.3">
      <c r="A8" s="3" t="s">
        <v>36</v>
      </c>
      <c r="B8" s="4" t="s">
        <v>50</v>
      </c>
      <c r="C8" s="5" t="s">
        <v>23</v>
      </c>
      <c r="D8" s="5" t="s">
        <v>37</v>
      </c>
    </row>
    <row r="9" spans="1:4" ht="43.2" x14ac:dyDescent="0.3">
      <c r="A9" s="3" t="s">
        <v>38</v>
      </c>
      <c r="B9" s="4" t="s">
        <v>51</v>
      </c>
      <c r="C9" s="5" t="s">
        <v>25</v>
      </c>
      <c r="D9" s="5" t="s">
        <v>35</v>
      </c>
    </row>
    <row r="10" spans="1:4" ht="57.6" x14ac:dyDescent="0.3">
      <c r="A10" s="3" t="s">
        <v>39</v>
      </c>
      <c r="B10" s="4" t="s">
        <v>52</v>
      </c>
      <c r="C10" s="5" t="s">
        <v>28</v>
      </c>
      <c r="D10" s="5" t="s">
        <v>40</v>
      </c>
    </row>
    <row r="11" spans="1:4" ht="57.6" x14ac:dyDescent="0.3">
      <c r="A11" s="3" t="s">
        <v>19</v>
      </c>
      <c r="B11" s="4" t="s">
        <v>53</v>
      </c>
      <c r="C11" s="5" t="s">
        <v>25</v>
      </c>
      <c r="D11" s="5" t="s">
        <v>42</v>
      </c>
    </row>
    <row r="12" spans="1:4" ht="52.8" x14ac:dyDescent="0.3">
      <c r="A12" s="3" t="s">
        <v>54</v>
      </c>
      <c r="B12" s="4" t="s">
        <v>55</v>
      </c>
      <c r="C12" s="5" t="s">
        <v>25</v>
      </c>
      <c r="D12" s="5" t="s">
        <v>41</v>
      </c>
    </row>
    <row r="13" spans="1:4" ht="57.6" x14ac:dyDescent="0.3">
      <c r="A13" s="3" t="s">
        <v>56</v>
      </c>
      <c r="B13" s="4" t="s">
        <v>57</v>
      </c>
      <c r="C13" s="5" t="s">
        <v>25</v>
      </c>
      <c r="D13" s="5" t="s">
        <v>58</v>
      </c>
    </row>
    <row r="14" spans="1:4" ht="66" x14ac:dyDescent="0.3">
      <c r="A14" s="3" t="s">
        <v>59</v>
      </c>
      <c r="B14" s="4" t="s">
        <v>44</v>
      </c>
      <c r="C14" s="5" t="s">
        <v>25</v>
      </c>
      <c r="D14" s="5" t="s">
        <v>60</v>
      </c>
    </row>
    <row r="15" spans="1:4" ht="57.6" x14ac:dyDescent="0.3">
      <c r="A15" s="3" t="s">
        <v>61</v>
      </c>
      <c r="B15" s="4" t="s">
        <v>62</v>
      </c>
      <c r="C15" s="5" t="s">
        <v>23</v>
      </c>
      <c r="D15" s="5" t="s">
        <v>63</v>
      </c>
    </row>
    <row r="16" spans="1:4" ht="57.6" x14ac:dyDescent="0.3">
      <c r="A16" s="3" t="s">
        <v>64</v>
      </c>
      <c r="B16" s="4" t="s">
        <v>65</v>
      </c>
      <c r="C16" s="5" t="s">
        <v>25</v>
      </c>
      <c r="D16" s="5" t="s">
        <v>66</v>
      </c>
    </row>
  </sheetData>
  <hyperlinks>
    <hyperlink ref="B2" r:id="rId1" xr:uid="{88500B2A-21DD-47EF-8C47-BCC2C10AA29C}"/>
    <hyperlink ref="B3" r:id="rId2" xr:uid="{F67EE288-6552-4F4F-B4BA-E8EEAB368DFA}"/>
    <hyperlink ref="B4" r:id="rId3" xr:uid="{821AE2E1-4A47-4446-930A-A6B06BF54053}"/>
    <hyperlink ref="B5" r:id="rId4" xr:uid="{88D65065-6E0F-4083-8AF5-615A6175342C}"/>
    <hyperlink ref="B6" r:id="rId5" xr:uid="{A5D98170-BD89-4A7E-A58A-43797393E0CE}"/>
    <hyperlink ref="B7" r:id="rId6" xr:uid="{BA419A53-07C8-40F5-BE82-54C3AA70E327}"/>
    <hyperlink ref="B8" r:id="rId7" xr:uid="{94DDD3AE-AFA8-48E8-8F4C-A738BC813040}"/>
    <hyperlink ref="B9" r:id="rId8" xr:uid="{0DAC2C10-53A1-4EDC-9971-CDCFA1A292F2}"/>
    <hyperlink ref="B10" r:id="rId9" xr:uid="{519641FB-860F-447D-A5EF-E73C9EB5BAF1}"/>
    <hyperlink ref="B11" r:id="rId10" xr:uid="{ABF9FF0B-E3ED-41FF-9F5C-27D0639664D8}"/>
    <hyperlink ref="B12" r:id="rId11" xr:uid="{DEABAC75-7F7C-4B39-BA30-AF449ED91133}"/>
    <hyperlink ref="B13" r:id="rId12" xr:uid="{EC10573F-5456-4CD8-9C0E-FFD0B96BDA8B}"/>
    <hyperlink ref="B14" r:id="rId13" xr:uid="{3B88B9FB-9073-4D33-878C-2A1C79B2D075}"/>
    <hyperlink ref="B15" r:id="rId14" xr:uid="{97EA836E-952E-4AED-8E76-D46C0B65CDDF}"/>
    <hyperlink ref="B16" r:id="rId15" xr:uid="{30448D0F-B420-4C27-A2BB-FE2B61E5D5C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C71B3-CD33-4916-8A74-FA676BF03CFE}">
  <dimension ref="B2"/>
  <sheetViews>
    <sheetView workbookViewId="0">
      <selection activeCell="D3" sqref="D3"/>
    </sheetView>
  </sheetViews>
  <sheetFormatPr defaultRowHeight="14.4" x14ac:dyDescent="0.3"/>
  <sheetData>
    <row r="2" spans="2:2" x14ac:dyDescent="0.3">
      <c r="B2" s="1" t="s">
        <v>8</v>
      </c>
    </row>
  </sheetData>
  <hyperlinks>
    <hyperlink ref="B2" r:id="rId1" xr:uid="{9B23C45E-ED2F-4B80-A466-93AED3F1C88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794D5-33CB-4E7F-8E28-777A580354A8}">
  <dimension ref="B2"/>
  <sheetViews>
    <sheetView workbookViewId="0">
      <selection activeCell="B2" sqref="B2"/>
    </sheetView>
  </sheetViews>
  <sheetFormatPr defaultRowHeight="14.4" x14ac:dyDescent="0.3"/>
  <sheetData>
    <row r="2" spans="2:2" x14ac:dyDescent="0.3">
      <c r="B2" t="str">
        <f>"1. 📊 Analyze this college website: " &amp;list!B7&amp;"— I'll upload the reports 2. 🎯 I have a college URL and 3 SEO reports — please analyze and recommend 3. 🔍 Help me qualify this college prospect 4. 📝 Generate a cover letter for this college based on my attached reports"</f>
        <v>1. 📊 Analyze this college website: https://ldsonawanecollege.com/— I'll upload the reports 2. 🎯 I have a college URL and 3 SEO reports — please analyze and recommend 3. 🔍 Help me qualify this college prospect 4. 📝 Generate a cover letter for this college based on my attached reports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7821-749A-4361-A2AD-C9086F1B09A5}">
  <dimension ref="A1:L51"/>
  <sheetViews>
    <sheetView topLeftCell="B34" workbookViewId="0">
      <selection activeCell="B37" sqref="B37"/>
    </sheetView>
  </sheetViews>
  <sheetFormatPr defaultRowHeight="14.4" x14ac:dyDescent="0.3"/>
  <cols>
    <col min="2" max="2" width="38.21875" customWidth="1"/>
    <col min="3" max="3" width="39.5546875" customWidth="1"/>
    <col min="4" max="4" width="11.33203125" customWidth="1"/>
    <col min="5" max="5" width="16.88671875" customWidth="1"/>
    <col min="6" max="6" width="40.109375" customWidth="1"/>
  </cols>
  <sheetData>
    <row r="1" spans="1:6" x14ac:dyDescent="0.3">
      <c r="A1" t="s">
        <v>90</v>
      </c>
      <c r="B1" t="s">
        <v>9</v>
      </c>
      <c r="C1" t="s">
        <v>14</v>
      </c>
      <c r="D1" t="s">
        <v>10</v>
      </c>
      <c r="E1" t="s">
        <v>11</v>
      </c>
      <c r="F1" t="s">
        <v>12</v>
      </c>
    </row>
    <row r="2" spans="1:6" x14ac:dyDescent="0.3">
      <c r="A2">
        <v>1</v>
      </c>
      <c r="B2" s="1" t="s">
        <v>13</v>
      </c>
      <c r="C2" t="s">
        <v>15</v>
      </c>
      <c r="D2" t="s">
        <v>79</v>
      </c>
    </row>
    <row r="3" spans="1:6" x14ac:dyDescent="0.3">
      <c r="A3">
        <v>2</v>
      </c>
      <c r="B3" s="1" t="s">
        <v>71</v>
      </c>
      <c r="C3" t="s">
        <v>72</v>
      </c>
      <c r="D3" t="s">
        <v>73</v>
      </c>
      <c r="E3" t="s">
        <v>74</v>
      </c>
      <c r="F3" t="s">
        <v>75</v>
      </c>
    </row>
    <row r="4" spans="1:6" x14ac:dyDescent="0.3">
      <c r="A4">
        <v>3</v>
      </c>
      <c r="B4" s="1" t="s">
        <v>76</v>
      </c>
      <c r="C4" t="s">
        <v>77</v>
      </c>
      <c r="D4" t="s">
        <v>73</v>
      </c>
      <c r="E4" t="s">
        <v>74</v>
      </c>
      <c r="F4" t="s">
        <v>75</v>
      </c>
    </row>
    <row r="5" spans="1:6" x14ac:dyDescent="0.3">
      <c r="A5">
        <v>4</v>
      </c>
      <c r="C5" t="s">
        <v>78</v>
      </c>
      <c r="D5" t="s">
        <v>79</v>
      </c>
      <c r="F5" t="s">
        <v>80</v>
      </c>
    </row>
    <row r="6" spans="1:6" x14ac:dyDescent="0.3">
      <c r="A6">
        <v>5</v>
      </c>
      <c r="B6" s="1" t="s">
        <v>81</v>
      </c>
      <c r="C6" t="s">
        <v>82</v>
      </c>
      <c r="D6" t="s">
        <v>79</v>
      </c>
    </row>
    <row r="7" spans="1:6" x14ac:dyDescent="0.3">
      <c r="A7">
        <v>6</v>
      </c>
      <c r="B7" s="1" t="s">
        <v>83</v>
      </c>
      <c r="C7" t="s">
        <v>84</v>
      </c>
      <c r="D7" t="s">
        <v>79</v>
      </c>
    </row>
    <row r="8" spans="1:6" x14ac:dyDescent="0.3">
      <c r="A8">
        <v>7</v>
      </c>
      <c r="B8" s="1" t="s">
        <v>85</v>
      </c>
      <c r="D8" t="s">
        <v>73</v>
      </c>
      <c r="E8" t="s">
        <v>74</v>
      </c>
      <c r="F8" t="s">
        <v>75</v>
      </c>
    </row>
    <row r="9" spans="1:6" x14ac:dyDescent="0.3">
      <c r="A9">
        <v>8</v>
      </c>
      <c r="B9" s="1" t="s">
        <v>86</v>
      </c>
      <c r="D9" t="s">
        <v>73</v>
      </c>
      <c r="E9" t="s">
        <v>74</v>
      </c>
      <c r="F9" t="s">
        <v>75</v>
      </c>
    </row>
    <row r="10" spans="1:6" x14ac:dyDescent="0.3">
      <c r="A10">
        <v>9</v>
      </c>
      <c r="B10" s="1" t="s">
        <v>89</v>
      </c>
      <c r="D10" t="s">
        <v>73</v>
      </c>
      <c r="E10" t="s">
        <v>74</v>
      </c>
      <c r="F10" t="s">
        <v>75</v>
      </c>
    </row>
    <row r="11" spans="1:6" x14ac:dyDescent="0.3">
      <c r="A11">
        <v>10</v>
      </c>
      <c r="B11" s="1" t="s">
        <v>91</v>
      </c>
      <c r="D11" t="s">
        <v>79</v>
      </c>
      <c r="F11" t="s">
        <v>92</v>
      </c>
    </row>
    <row r="12" spans="1:6" x14ac:dyDescent="0.3">
      <c r="A12">
        <v>11</v>
      </c>
      <c r="B12" s="1" t="s">
        <v>95</v>
      </c>
      <c r="D12" t="s">
        <v>73</v>
      </c>
    </row>
    <row r="13" spans="1:6" x14ac:dyDescent="0.3">
      <c r="A13">
        <v>12</v>
      </c>
      <c r="B13" s="1" t="s">
        <v>96</v>
      </c>
      <c r="D13" t="s">
        <v>73</v>
      </c>
      <c r="F13" t="s">
        <v>75</v>
      </c>
    </row>
    <row r="14" spans="1:6" x14ac:dyDescent="0.3">
      <c r="A14">
        <v>13</v>
      </c>
      <c r="B14" s="1" t="s">
        <v>97</v>
      </c>
      <c r="C14" t="s">
        <v>99</v>
      </c>
      <c r="D14" t="s">
        <v>73</v>
      </c>
    </row>
    <row r="15" spans="1:6" x14ac:dyDescent="0.3">
      <c r="A15">
        <v>14</v>
      </c>
      <c r="B15" s="1" t="s">
        <v>98</v>
      </c>
      <c r="D15" t="s">
        <v>102</v>
      </c>
    </row>
    <row r="16" spans="1:6" x14ac:dyDescent="0.3">
      <c r="A16">
        <v>15</v>
      </c>
      <c r="B16" s="1" t="s">
        <v>100</v>
      </c>
      <c r="D16" t="s">
        <v>101</v>
      </c>
    </row>
    <row r="17" spans="1:12" x14ac:dyDescent="0.3">
      <c r="A17">
        <v>16</v>
      </c>
      <c r="B17" s="1" t="s">
        <v>103</v>
      </c>
      <c r="D17" t="s">
        <v>79</v>
      </c>
    </row>
    <row r="18" spans="1:12" x14ac:dyDescent="0.3">
      <c r="A18">
        <v>17</v>
      </c>
      <c r="B18" s="1" t="s">
        <v>104</v>
      </c>
      <c r="D18" t="s">
        <v>101</v>
      </c>
      <c r="F18" t="s">
        <v>105</v>
      </c>
    </row>
    <row r="19" spans="1:12" x14ac:dyDescent="0.3">
      <c r="A19">
        <v>18</v>
      </c>
      <c r="B19" s="1" t="s">
        <v>81</v>
      </c>
      <c r="D19" t="s">
        <v>79</v>
      </c>
    </row>
    <row r="20" spans="1:12" x14ac:dyDescent="0.3">
      <c r="A20">
        <v>19</v>
      </c>
      <c r="B20" s="1" t="s">
        <v>106</v>
      </c>
      <c r="D20" t="s">
        <v>79</v>
      </c>
    </row>
    <row r="21" spans="1:12" x14ac:dyDescent="0.3">
      <c r="A21">
        <v>20</v>
      </c>
      <c r="B21" s="1" t="s">
        <v>107</v>
      </c>
      <c r="D21" t="s">
        <v>79</v>
      </c>
    </row>
    <row r="22" spans="1:12" x14ac:dyDescent="0.3">
      <c r="A22">
        <v>21</v>
      </c>
      <c r="C22" t="s">
        <v>108</v>
      </c>
      <c r="D22" t="s">
        <v>109</v>
      </c>
      <c r="F22" t="s">
        <v>110</v>
      </c>
    </row>
    <row r="23" spans="1:12" x14ac:dyDescent="0.3">
      <c r="A23">
        <v>22</v>
      </c>
      <c r="B23" s="1" t="s">
        <v>111</v>
      </c>
      <c r="D23" t="s">
        <v>101</v>
      </c>
      <c r="F23" t="s">
        <v>75</v>
      </c>
    </row>
    <row r="24" spans="1:12" x14ac:dyDescent="0.3">
      <c r="A24">
        <v>23</v>
      </c>
      <c r="B24" s="1" t="s">
        <v>112</v>
      </c>
      <c r="D24" t="s">
        <v>79</v>
      </c>
    </row>
    <row r="25" spans="1:12" x14ac:dyDescent="0.3">
      <c r="A25">
        <v>24</v>
      </c>
      <c r="B25" s="1" t="s">
        <v>113</v>
      </c>
      <c r="D25" t="s">
        <v>79</v>
      </c>
    </row>
    <row r="26" spans="1:12" x14ac:dyDescent="0.3">
      <c r="A26">
        <v>25</v>
      </c>
      <c r="C26" t="s">
        <v>114</v>
      </c>
      <c r="D26" t="s">
        <v>79</v>
      </c>
      <c r="F26" t="s">
        <v>115</v>
      </c>
    </row>
    <row r="27" spans="1:12" x14ac:dyDescent="0.3">
      <c r="A27">
        <v>26</v>
      </c>
      <c r="C27" t="s">
        <v>116</v>
      </c>
      <c r="D27" t="s">
        <v>79</v>
      </c>
      <c r="J27">
        <v>300000</v>
      </c>
      <c r="K27">
        <f>K28*L27</f>
        <v>259200</v>
      </c>
      <c r="L27">
        <v>18</v>
      </c>
    </row>
    <row r="28" spans="1:12" x14ac:dyDescent="0.3">
      <c r="A28">
        <v>27</v>
      </c>
      <c r="B28" s="1" t="s">
        <v>117</v>
      </c>
      <c r="D28" t="s">
        <v>79</v>
      </c>
      <c r="J28">
        <f>J27/20</f>
        <v>15000</v>
      </c>
      <c r="K28">
        <f>K29*8</f>
        <v>14400</v>
      </c>
    </row>
    <row r="29" spans="1:12" x14ac:dyDescent="0.3">
      <c r="A29">
        <v>28</v>
      </c>
      <c r="B29" s="1" t="s">
        <v>118</v>
      </c>
      <c r="D29" t="s">
        <v>101</v>
      </c>
      <c r="J29">
        <f>J28/8</f>
        <v>1875</v>
      </c>
      <c r="K29">
        <v>1800</v>
      </c>
    </row>
    <row r="30" spans="1:12" x14ac:dyDescent="0.3">
      <c r="A30">
        <v>29</v>
      </c>
      <c r="C30" t="s">
        <v>119</v>
      </c>
      <c r="D30" t="s">
        <v>79</v>
      </c>
    </row>
    <row r="31" spans="1:12" x14ac:dyDescent="0.3">
      <c r="A31">
        <v>30</v>
      </c>
      <c r="B31" s="1" t="s">
        <v>120</v>
      </c>
      <c r="C31" t="s">
        <v>121</v>
      </c>
      <c r="D31" t="s">
        <v>79</v>
      </c>
    </row>
    <row r="32" spans="1:12" x14ac:dyDescent="0.3">
      <c r="A32">
        <v>31</v>
      </c>
      <c r="B32" s="1" t="s">
        <v>122</v>
      </c>
      <c r="C32" t="s">
        <v>123</v>
      </c>
      <c r="D32" t="s">
        <v>79</v>
      </c>
    </row>
    <row r="33" spans="1:6" x14ac:dyDescent="0.3">
      <c r="A33">
        <v>32</v>
      </c>
      <c r="C33" t="s">
        <v>124</v>
      </c>
      <c r="D33" t="s">
        <v>79</v>
      </c>
    </row>
    <row r="34" spans="1:6" x14ac:dyDescent="0.3">
      <c r="A34">
        <v>33</v>
      </c>
      <c r="B34" s="1" t="s">
        <v>125</v>
      </c>
      <c r="D34" t="s">
        <v>79</v>
      </c>
    </row>
    <row r="35" spans="1:6" x14ac:dyDescent="0.3">
      <c r="A35">
        <v>34</v>
      </c>
      <c r="B35" s="1" t="s">
        <v>126</v>
      </c>
      <c r="C35" t="s">
        <v>127</v>
      </c>
      <c r="D35" t="s">
        <v>101</v>
      </c>
      <c r="F35" t="s">
        <v>75</v>
      </c>
    </row>
    <row r="36" spans="1:6" x14ac:dyDescent="0.3">
      <c r="A36">
        <v>35</v>
      </c>
    </row>
    <row r="37" spans="1:6" x14ac:dyDescent="0.3">
      <c r="A37">
        <v>36</v>
      </c>
    </row>
    <row r="38" spans="1:6" x14ac:dyDescent="0.3">
      <c r="A38">
        <v>37</v>
      </c>
    </row>
    <row r="39" spans="1:6" x14ac:dyDescent="0.3">
      <c r="A39">
        <v>38</v>
      </c>
    </row>
    <row r="40" spans="1:6" x14ac:dyDescent="0.3">
      <c r="A40">
        <v>39</v>
      </c>
    </row>
    <row r="41" spans="1:6" x14ac:dyDescent="0.3">
      <c r="A41">
        <v>40</v>
      </c>
    </row>
    <row r="42" spans="1:6" x14ac:dyDescent="0.3">
      <c r="A42">
        <v>41</v>
      </c>
    </row>
    <row r="43" spans="1:6" x14ac:dyDescent="0.3">
      <c r="A43">
        <v>42</v>
      </c>
    </row>
    <row r="44" spans="1:6" x14ac:dyDescent="0.3">
      <c r="A44">
        <v>43</v>
      </c>
    </row>
    <row r="45" spans="1:6" x14ac:dyDescent="0.3">
      <c r="A45">
        <v>44</v>
      </c>
    </row>
    <row r="46" spans="1:6" x14ac:dyDescent="0.3">
      <c r="A46">
        <v>45</v>
      </c>
    </row>
    <row r="47" spans="1:6" x14ac:dyDescent="0.3">
      <c r="A47">
        <v>46</v>
      </c>
    </row>
    <row r="48" spans="1:6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</sheetData>
  <hyperlinks>
    <hyperlink ref="B2" r:id="rId1" xr:uid="{BADB9388-CA2D-4D5C-9856-FCFA5F71F932}"/>
    <hyperlink ref="B3" r:id="rId2" xr:uid="{160A3E62-0F88-454D-BA4E-F65745C74CED}"/>
    <hyperlink ref="B4" r:id="rId3" xr:uid="{F5AEDC27-0C4E-443B-A1E9-E3936C873166}"/>
    <hyperlink ref="B6" r:id="rId4" xr:uid="{14DCC172-86BC-44D5-A3B3-35A31E61D514}"/>
    <hyperlink ref="B7" r:id="rId5" xr:uid="{E46FBA70-1CAA-4963-BC18-422013A1E700}"/>
    <hyperlink ref="B8" r:id="rId6" xr:uid="{147B9C0C-7994-4027-9DD8-D5F65CE5C2C9}"/>
    <hyperlink ref="B9" r:id="rId7" xr:uid="{F277103F-DC1F-4F04-AF22-2A9CC5E41F92}"/>
    <hyperlink ref="B10" r:id="rId8" xr:uid="{AFB363AE-A63C-4D81-BAEC-106493F79F47}"/>
    <hyperlink ref="B11" r:id="rId9" xr:uid="{141BABA6-488C-4098-B0FA-DA6E1E264299}"/>
    <hyperlink ref="B12" r:id="rId10" xr:uid="{5CE0E39F-082A-4108-9371-606C16167234}"/>
    <hyperlink ref="B13" r:id="rId11" xr:uid="{C4474FF1-50F5-43ED-B26C-2038931FADD3}"/>
    <hyperlink ref="B14" r:id="rId12" xr:uid="{CF1D815E-016F-4622-A1DD-4B8CA34AE0D9}"/>
    <hyperlink ref="B15" r:id="rId13" xr:uid="{316814CC-0CD2-4BE3-89FA-B0B97BCFF49E}"/>
    <hyperlink ref="B16" r:id="rId14" xr:uid="{97C72E66-16F7-47AF-9137-036F6BF0B553}"/>
    <hyperlink ref="B17" r:id="rId15" xr:uid="{0E749804-FF12-4AAD-BA67-5B16EC34B2E0}"/>
    <hyperlink ref="B18" r:id="rId16" xr:uid="{3B7531E0-BFAB-4F3B-A4EC-1F0C7082D36E}"/>
    <hyperlink ref="B19" r:id="rId17" xr:uid="{5A57C342-2F54-43EC-9868-296B7B56A961}"/>
    <hyperlink ref="B20" r:id="rId18" xr:uid="{C80386E5-3EF1-495A-9D18-225EA6DB82DC}"/>
    <hyperlink ref="B21" r:id="rId19" xr:uid="{42EEB4A1-CE21-4018-B0E1-18D575771152}"/>
    <hyperlink ref="B23" r:id="rId20" xr:uid="{C222599D-8246-4057-A062-06A30B4C749A}"/>
    <hyperlink ref="B24" r:id="rId21" xr:uid="{34ABEADB-2F2A-46AC-A19D-B4ED7CEF191E}"/>
    <hyperlink ref="B25" r:id="rId22" xr:uid="{E2534B03-E0D5-46CC-B9EC-E73976182D6B}"/>
    <hyperlink ref="B28" r:id="rId23" xr:uid="{3BC4C1FA-7978-4F5E-B78D-25C0311D74B0}"/>
    <hyperlink ref="B29" r:id="rId24" xr:uid="{20909DD5-1414-4A41-A7A3-40D21E246E2D}"/>
    <hyperlink ref="B31" r:id="rId25" xr:uid="{DF4C3B61-3E8D-4EA8-87DF-BA34A105798D}"/>
    <hyperlink ref="B32" r:id="rId26" xr:uid="{99451081-EFE9-4C9F-A3FA-E8C394DF1384}"/>
    <hyperlink ref="B34" r:id="rId27" xr:uid="{54ED6500-FD4F-490D-8CFF-D92C7DED1C29}"/>
    <hyperlink ref="B35" r:id="rId28" xr:uid="{7B76C103-17C5-4AD5-B076-3ADEFA6F8E4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7B32-5F16-4A13-B7DF-9A3649DD6074}">
  <dimension ref="A1:E50"/>
  <sheetViews>
    <sheetView tabSelected="1" workbookViewId="0">
      <selection activeCell="H1" sqref="H1"/>
    </sheetView>
  </sheetViews>
  <sheetFormatPr defaultRowHeight="14.4" x14ac:dyDescent="0.3"/>
  <cols>
    <col min="2" max="2" width="30.77734375" customWidth="1"/>
    <col min="3" max="3" width="34.5546875" customWidth="1"/>
    <col min="4" max="4" width="30.77734375" customWidth="1"/>
  </cols>
  <sheetData>
    <row r="1" spans="1:5" x14ac:dyDescent="0.3">
      <c r="A1" s="2" t="s">
        <v>128</v>
      </c>
      <c r="B1" s="2" t="s">
        <v>129</v>
      </c>
      <c r="C1" s="2" t="s">
        <v>130</v>
      </c>
      <c r="D1" s="2" t="s">
        <v>131</v>
      </c>
    </row>
    <row r="2" spans="1:5" x14ac:dyDescent="0.3">
      <c r="A2" s="5">
        <v>1</v>
      </c>
      <c r="B2" s="5" t="s">
        <v>151</v>
      </c>
      <c r="C2" s="4" t="s">
        <v>152</v>
      </c>
      <c r="D2" s="5" t="s">
        <v>153</v>
      </c>
      <c r="E2" s="5" t="s">
        <v>213</v>
      </c>
    </row>
    <row r="3" spans="1:5" x14ac:dyDescent="0.3">
      <c r="A3" s="5">
        <v>2</v>
      </c>
      <c r="B3" s="5" t="s">
        <v>72</v>
      </c>
      <c r="C3" s="4" t="s">
        <v>71</v>
      </c>
      <c r="D3" s="5" t="s">
        <v>194</v>
      </c>
      <c r="E3" s="5" t="s">
        <v>101</v>
      </c>
    </row>
    <row r="4" spans="1:5" x14ac:dyDescent="0.3">
      <c r="A4" s="5">
        <v>3</v>
      </c>
      <c r="B4" s="5" t="s">
        <v>195</v>
      </c>
      <c r="C4" s="4" t="s">
        <v>76</v>
      </c>
      <c r="D4" s="5" t="s">
        <v>194</v>
      </c>
      <c r="E4" s="5" t="s">
        <v>101</v>
      </c>
    </row>
    <row r="5" spans="1:5" x14ac:dyDescent="0.3">
      <c r="A5" s="5">
        <v>4</v>
      </c>
      <c r="B5" s="5" t="s">
        <v>78</v>
      </c>
      <c r="C5" s="5" t="s">
        <v>132</v>
      </c>
      <c r="D5" s="5" t="s">
        <v>133</v>
      </c>
      <c r="E5" s="5" t="s">
        <v>212</v>
      </c>
    </row>
    <row r="6" spans="1:5" x14ac:dyDescent="0.3">
      <c r="A6" s="5">
        <v>5</v>
      </c>
      <c r="B6" s="5" t="s">
        <v>154</v>
      </c>
      <c r="C6" s="4" t="s">
        <v>155</v>
      </c>
      <c r="D6" s="5" t="s">
        <v>156</v>
      </c>
      <c r="E6" s="5" t="s">
        <v>213</v>
      </c>
    </row>
    <row r="7" spans="1:5" x14ac:dyDescent="0.3">
      <c r="A7" s="5">
        <v>6</v>
      </c>
      <c r="B7" s="5" t="s">
        <v>157</v>
      </c>
      <c r="C7" s="4" t="s">
        <v>158</v>
      </c>
      <c r="D7" s="5" t="s">
        <v>159</v>
      </c>
      <c r="E7" s="5" t="s">
        <v>213</v>
      </c>
    </row>
    <row r="8" spans="1:5" x14ac:dyDescent="0.3">
      <c r="A8" s="5">
        <v>7</v>
      </c>
      <c r="B8" s="5" t="s">
        <v>196</v>
      </c>
      <c r="C8" s="4" t="s">
        <v>85</v>
      </c>
      <c r="D8" s="5" t="s">
        <v>194</v>
      </c>
      <c r="E8" s="5" t="s">
        <v>101</v>
      </c>
    </row>
    <row r="9" spans="1:5" x14ac:dyDescent="0.3">
      <c r="A9" s="5">
        <v>8</v>
      </c>
      <c r="B9" s="5" t="s">
        <v>197</v>
      </c>
      <c r="C9" s="4" t="s">
        <v>86</v>
      </c>
      <c r="D9" s="5" t="s">
        <v>194</v>
      </c>
      <c r="E9" s="5" t="s">
        <v>101</v>
      </c>
    </row>
    <row r="10" spans="1:5" x14ac:dyDescent="0.3">
      <c r="A10" s="5">
        <v>9</v>
      </c>
      <c r="B10" s="5" t="s">
        <v>198</v>
      </c>
      <c r="C10" s="4" t="s">
        <v>89</v>
      </c>
      <c r="D10" s="5" t="s">
        <v>194</v>
      </c>
      <c r="E10" s="5" t="s">
        <v>101</v>
      </c>
    </row>
    <row r="11" spans="1:5" x14ac:dyDescent="0.3">
      <c r="A11" s="3">
        <v>10</v>
      </c>
      <c r="B11" s="5" t="s">
        <v>210</v>
      </c>
      <c r="C11" s="4" t="s">
        <v>91</v>
      </c>
      <c r="D11" s="5" t="s">
        <v>211</v>
      </c>
      <c r="E11" s="5" t="s">
        <v>212</v>
      </c>
    </row>
    <row r="12" spans="1:5" x14ac:dyDescent="0.3">
      <c r="A12" s="5">
        <v>11</v>
      </c>
      <c r="B12" s="5" t="s">
        <v>199</v>
      </c>
      <c r="C12" s="4" t="s">
        <v>95</v>
      </c>
      <c r="D12" s="5" t="s">
        <v>194</v>
      </c>
      <c r="E12" s="5" t="s">
        <v>101</v>
      </c>
    </row>
    <row r="13" spans="1:5" x14ac:dyDescent="0.3">
      <c r="A13" s="5">
        <v>12</v>
      </c>
      <c r="B13" s="5" t="s">
        <v>200</v>
      </c>
      <c r="C13" s="4" t="s">
        <v>96</v>
      </c>
      <c r="D13" s="5" t="s">
        <v>194</v>
      </c>
      <c r="E13" s="5" t="s">
        <v>101</v>
      </c>
    </row>
    <row r="14" spans="1:5" x14ac:dyDescent="0.3">
      <c r="A14" s="5">
        <v>13</v>
      </c>
      <c r="B14" s="5" t="s">
        <v>99</v>
      </c>
      <c r="C14" s="4" t="s">
        <v>97</v>
      </c>
      <c r="D14" s="5" t="s">
        <v>194</v>
      </c>
      <c r="E14" s="5" t="s">
        <v>101</v>
      </c>
    </row>
    <row r="15" spans="1:5" x14ac:dyDescent="0.3">
      <c r="A15" s="5">
        <v>14</v>
      </c>
      <c r="B15" s="5" t="s">
        <v>201</v>
      </c>
      <c r="C15" s="4" t="s">
        <v>98</v>
      </c>
      <c r="D15" s="5" t="s">
        <v>194</v>
      </c>
      <c r="E15" s="5" t="s">
        <v>101</v>
      </c>
    </row>
    <row r="16" spans="1:5" x14ac:dyDescent="0.3">
      <c r="A16" s="5">
        <v>15</v>
      </c>
      <c r="B16" s="5" t="s">
        <v>202</v>
      </c>
      <c r="C16" s="4" t="s">
        <v>100</v>
      </c>
      <c r="D16" s="5" t="s">
        <v>194</v>
      </c>
      <c r="E16" s="5" t="s">
        <v>101</v>
      </c>
    </row>
    <row r="17" spans="1:5" x14ac:dyDescent="0.3">
      <c r="A17" s="5">
        <v>16</v>
      </c>
      <c r="B17" s="5" t="s">
        <v>160</v>
      </c>
      <c r="C17" s="4" t="s">
        <v>161</v>
      </c>
      <c r="D17" s="5" t="s">
        <v>162</v>
      </c>
      <c r="E17" s="5" t="s">
        <v>213</v>
      </c>
    </row>
    <row r="18" spans="1:5" ht="26.4" x14ac:dyDescent="0.3">
      <c r="A18" s="5">
        <v>17</v>
      </c>
      <c r="B18" s="5" t="s">
        <v>203</v>
      </c>
      <c r="C18" s="4" t="s">
        <v>104</v>
      </c>
      <c r="D18" s="5" t="s">
        <v>204</v>
      </c>
      <c r="E18" s="5" t="s">
        <v>213</v>
      </c>
    </row>
    <row r="19" spans="1:5" x14ac:dyDescent="0.3">
      <c r="A19" s="5">
        <v>19</v>
      </c>
      <c r="B19" s="5" t="s">
        <v>163</v>
      </c>
      <c r="C19" s="4" t="s">
        <v>164</v>
      </c>
      <c r="D19" s="5" t="s">
        <v>156</v>
      </c>
      <c r="E19" s="5" t="s">
        <v>213</v>
      </c>
    </row>
    <row r="20" spans="1:5" x14ac:dyDescent="0.3">
      <c r="A20" s="5">
        <v>20</v>
      </c>
      <c r="B20" s="5" t="s">
        <v>165</v>
      </c>
      <c r="C20" s="4" t="s">
        <v>166</v>
      </c>
      <c r="D20" s="5" t="s">
        <v>167</v>
      </c>
      <c r="E20" s="5" t="s">
        <v>213</v>
      </c>
    </row>
    <row r="21" spans="1:5" ht="26.4" x14ac:dyDescent="0.3">
      <c r="A21" s="5">
        <v>21</v>
      </c>
      <c r="B21" s="5" t="s">
        <v>108</v>
      </c>
      <c r="C21" s="5" t="s">
        <v>132</v>
      </c>
      <c r="D21" s="5" t="s">
        <v>134</v>
      </c>
      <c r="E21" s="5" t="s">
        <v>212</v>
      </c>
    </row>
    <row r="22" spans="1:5" x14ac:dyDescent="0.3">
      <c r="A22" s="5">
        <v>22</v>
      </c>
      <c r="B22" s="5" t="s">
        <v>205</v>
      </c>
      <c r="C22" s="4" t="s">
        <v>111</v>
      </c>
      <c r="D22" s="5" t="s">
        <v>194</v>
      </c>
      <c r="E22" s="5" t="s">
        <v>101</v>
      </c>
    </row>
    <row r="23" spans="1:5" x14ac:dyDescent="0.3">
      <c r="A23" s="5">
        <v>23</v>
      </c>
      <c r="B23" s="5" t="s">
        <v>168</v>
      </c>
      <c r="C23" s="4" t="s">
        <v>169</v>
      </c>
      <c r="D23" s="5" t="s">
        <v>159</v>
      </c>
      <c r="E23" s="5" t="s">
        <v>213</v>
      </c>
    </row>
    <row r="24" spans="1:5" x14ac:dyDescent="0.3">
      <c r="A24" s="5">
        <v>24</v>
      </c>
      <c r="B24" s="5" t="s">
        <v>170</v>
      </c>
      <c r="C24" s="4" t="s">
        <v>171</v>
      </c>
      <c r="D24" s="5" t="s">
        <v>156</v>
      </c>
      <c r="E24" s="5" t="s">
        <v>213</v>
      </c>
    </row>
    <row r="25" spans="1:5" x14ac:dyDescent="0.3">
      <c r="A25" s="5">
        <v>25</v>
      </c>
      <c r="B25" s="5" t="s">
        <v>135</v>
      </c>
      <c r="C25" s="5" t="s">
        <v>132</v>
      </c>
      <c r="D25" s="5" t="s">
        <v>134</v>
      </c>
      <c r="E25" s="5" t="s">
        <v>212</v>
      </c>
    </row>
    <row r="26" spans="1:5" x14ac:dyDescent="0.3">
      <c r="A26" s="5">
        <v>26</v>
      </c>
      <c r="B26" s="5" t="s">
        <v>136</v>
      </c>
      <c r="C26" s="5" t="s">
        <v>137</v>
      </c>
      <c r="D26" s="5" t="s">
        <v>134</v>
      </c>
      <c r="E26" s="5" t="s">
        <v>212</v>
      </c>
    </row>
    <row r="27" spans="1:5" x14ac:dyDescent="0.3">
      <c r="A27" s="5">
        <v>27</v>
      </c>
      <c r="B27" s="5" t="s">
        <v>172</v>
      </c>
      <c r="C27" s="4" t="s">
        <v>173</v>
      </c>
      <c r="D27" s="5" t="s">
        <v>174</v>
      </c>
      <c r="E27" s="5" t="s">
        <v>213</v>
      </c>
    </row>
    <row r="28" spans="1:5" x14ac:dyDescent="0.3">
      <c r="A28" s="5">
        <v>28</v>
      </c>
      <c r="B28" s="5" t="s">
        <v>206</v>
      </c>
      <c r="C28" s="4" t="s">
        <v>118</v>
      </c>
      <c r="D28" s="5" t="s">
        <v>194</v>
      </c>
      <c r="E28" s="5" t="s">
        <v>101</v>
      </c>
    </row>
    <row r="29" spans="1:5" x14ac:dyDescent="0.3">
      <c r="A29" s="5">
        <v>29</v>
      </c>
      <c r="B29" s="5" t="s">
        <v>138</v>
      </c>
      <c r="C29" s="5" t="s">
        <v>132</v>
      </c>
      <c r="D29" s="5" t="s">
        <v>134</v>
      </c>
      <c r="E29" s="5" t="s">
        <v>212</v>
      </c>
    </row>
    <row r="30" spans="1:5" x14ac:dyDescent="0.3">
      <c r="A30" s="5">
        <v>30</v>
      </c>
      <c r="B30" s="5" t="s">
        <v>175</v>
      </c>
      <c r="C30" s="4" t="s">
        <v>176</v>
      </c>
      <c r="D30" s="5" t="s">
        <v>156</v>
      </c>
      <c r="E30" s="5" t="s">
        <v>213</v>
      </c>
    </row>
    <row r="31" spans="1:5" x14ac:dyDescent="0.3">
      <c r="A31" s="5">
        <v>31</v>
      </c>
      <c r="B31" s="5" t="s">
        <v>123</v>
      </c>
      <c r="C31" s="4" t="s">
        <v>177</v>
      </c>
      <c r="D31" s="5" t="s">
        <v>159</v>
      </c>
      <c r="E31" s="5" t="s">
        <v>213</v>
      </c>
    </row>
    <row r="32" spans="1:5" x14ac:dyDescent="0.3">
      <c r="A32" s="5">
        <v>32</v>
      </c>
      <c r="B32" s="5" t="s">
        <v>139</v>
      </c>
      <c r="C32" s="5" t="s">
        <v>140</v>
      </c>
      <c r="D32" s="5" t="s">
        <v>134</v>
      </c>
      <c r="E32" s="5" t="s">
        <v>212</v>
      </c>
    </row>
    <row r="33" spans="1:5" x14ac:dyDescent="0.3">
      <c r="A33" s="5">
        <v>33</v>
      </c>
      <c r="B33" s="5" t="s">
        <v>178</v>
      </c>
      <c r="C33" s="4" t="s">
        <v>179</v>
      </c>
      <c r="D33" s="5" t="s">
        <v>174</v>
      </c>
      <c r="E33" s="5" t="s">
        <v>213</v>
      </c>
    </row>
    <row r="34" spans="1:5" x14ac:dyDescent="0.3">
      <c r="A34" s="5">
        <v>34</v>
      </c>
      <c r="B34" s="5" t="s">
        <v>207</v>
      </c>
      <c r="C34" s="4" t="s">
        <v>126</v>
      </c>
      <c r="D34" s="5" t="s">
        <v>194</v>
      </c>
      <c r="E34" s="5" t="s">
        <v>101</v>
      </c>
    </row>
    <row r="35" spans="1:5" ht="26.4" x14ac:dyDescent="0.3">
      <c r="A35" s="5">
        <v>35</v>
      </c>
      <c r="B35" s="5" t="s">
        <v>108</v>
      </c>
      <c r="C35" s="5" t="s">
        <v>132</v>
      </c>
      <c r="D35" s="5" t="s">
        <v>134</v>
      </c>
      <c r="E35" s="5" t="s">
        <v>212</v>
      </c>
    </row>
    <row r="36" spans="1:5" x14ac:dyDescent="0.3">
      <c r="A36" s="5">
        <v>36</v>
      </c>
      <c r="B36" s="5" t="s">
        <v>180</v>
      </c>
      <c r="C36" s="4" t="s">
        <v>181</v>
      </c>
      <c r="D36" s="5" t="s">
        <v>156</v>
      </c>
      <c r="E36" s="5" t="s">
        <v>213</v>
      </c>
    </row>
    <row r="37" spans="1:5" x14ac:dyDescent="0.3">
      <c r="A37" s="5">
        <v>37</v>
      </c>
      <c r="B37" s="5" t="s">
        <v>182</v>
      </c>
      <c r="C37" s="4" t="s">
        <v>183</v>
      </c>
      <c r="D37" s="5" t="s">
        <v>159</v>
      </c>
      <c r="E37" s="5" t="s">
        <v>213</v>
      </c>
    </row>
    <row r="38" spans="1:5" x14ac:dyDescent="0.3">
      <c r="A38" s="5">
        <v>38</v>
      </c>
      <c r="B38" s="5" t="s">
        <v>184</v>
      </c>
      <c r="C38" s="4" t="s">
        <v>185</v>
      </c>
      <c r="D38" s="5" t="s">
        <v>174</v>
      </c>
      <c r="E38" s="5" t="s">
        <v>213</v>
      </c>
    </row>
    <row r="39" spans="1:5" x14ac:dyDescent="0.3">
      <c r="A39" s="5">
        <v>39</v>
      </c>
      <c r="B39" s="5" t="s">
        <v>186</v>
      </c>
      <c r="C39" s="4" t="s">
        <v>187</v>
      </c>
      <c r="D39" s="5" t="s">
        <v>156</v>
      </c>
      <c r="E39" s="5" t="s">
        <v>213</v>
      </c>
    </row>
    <row r="40" spans="1:5" x14ac:dyDescent="0.3">
      <c r="A40" s="5">
        <v>40</v>
      </c>
      <c r="B40" s="5" t="s">
        <v>141</v>
      </c>
      <c r="C40" s="5" t="s">
        <v>142</v>
      </c>
      <c r="D40" s="5" t="s">
        <v>134</v>
      </c>
      <c r="E40" s="5" t="s">
        <v>212</v>
      </c>
    </row>
    <row r="41" spans="1:5" x14ac:dyDescent="0.3">
      <c r="A41" s="5">
        <v>41</v>
      </c>
      <c r="B41" s="5" t="s">
        <v>143</v>
      </c>
      <c r="C41" s="5" t="s">
        <v>144</v>
      </c>
      <c r="D41" s="5" t="s">
        <v>134</v>
      </c>
      <c r="E41" s="5" t="s">
        <v>212</v>
      </c>
    </row>
    <row r="42" spans="1:5" x14ac:dyDescent="0.3">
      <c r="A42" s="5">
        <v>42</v>
      </c>
      <c r="B42" s="5" t="s">
        <v>145</v>
      </c>
      <c r="C42" s="5" t="s">
        <v>144</v>
      </c>
      <c r="D42" s="5" t="s">
        <v>134</v>
      </c>
      <c r="E42" s="5" t="s">
        <v>212</v>
      </c>
    </row>
    <row r="43" spans="1:5" x14ac:dyDescent="0.3">
      <c r="A43" s="5">
        <v>43</v>
      </c>
      <c r="B43" s="5" t="s">
        <v>188</v>
      </c>
      <c r="C43" s="4" t="s">
        <v>189</v>
      </c>
      <c r="D43" s="5" t="s">
        <v>159</v>
      </c>
      <c r="E43" s="5" t="s">
        <v>213</v>
      </c>
    </row>
    <row r="44" spans="1:5" x14ac:dyDescent="0.3">
      <c r="A44" s="5">
        <v>44</v>
      </c>
      <c r="B44" s="5" t="s">
        <v>190</v>
      </c>
      <c r="C44" s="4" t="s">
        <v>191</v>
      </c>
      <c r="D44" s="5" t="s">
        <v>156</v>
      </c>
      <c r="E44" s="5" t="s">
        <v>213</v>
      </c>
    </row>
    <row r="45" spans="1:5" ht="28.8" x14ac:dyDescent="0.3">
      <c r="A45" s="5">
        <v>45</v>
      </c>
      <c r="B45" s="5" t="s">
        <v>208</v>
      </c>
      <c r="C45" s="4" t="s">
        <v>209</v>
      </c>
      <c r="D45" s="5" t="s">
        <v>194</v>
      </c>
      <c r="E45" s="5" t="s">
        <v>101</v>
      </c>
    </row>
    <row r="46" spans="1:5" x14ac:dyDescent="0.3">
      <c r="A46" s="5">
        <v>46</v>
      </c>
      <c r="B46" s="5" t="s">
        <v>146</v>
      </c>
      <c r="C46" s="5" t="s">
        <v>147</v>
      </c>
      <c r="D46" s="5" t="s">
        <v>134</v>
      </c>
      <c r="E46" s="5" t="s">
        <v>212</v>
      </c>
    </row>
    <row r="47" spans="1:5" x14ac:dyDescent="0.3">
      <c r="A47" s="5">
        <v>47</v>
      </c>
      <c r="B47" s="5" t="s">
        <v>148</v>
      </c>
      <c r="C47" s="5" t="s">
        <v>147</v>
      </c>
      <c r="D47" s="5" t="s">
        <v>134</v>
      </c>
      <c r="E47" s="5" t="s">
        <v>212</v>
      </c>
    </row>
    <row r="48" spans="1:5" x14ac:dyDescent="0.3">
      <c r="A48" s="5">
        <v>48</v>
      </c>
      <c r="B48" s="5" t="s">
        <v>149</v>
      </c>
      <c r="C48" s="5" t="s">
        <v>147</v>
      </c>
      <c r="D48" s="5" t="s">
        <v>134</v>
      </c>
      <c r="E48" s="5" t="s">
        <v>212</v>
      </c>
    </row>
    <row r="49" spans="1:5" x14ac:dyDescent="0.3">
      <c r="A49" s="5">
        <v>49</v>
      </c>
      <c r="B49" s="5" t="s">
        <v>150</v>
      </c>
      <c r="C49" s="5" t="s">
        <v>147</v>
      </c>
      <c r="D49" s="5" t="s">
        <v>134</v>
      </c>
      <c r="E49" s="5" t="s">
        <v>212</v>
      </c>
    </row>
    <row r="50" spans="1:5" x14ac:dyDescent="0.3">
      <c r="A50" s="5">
        <v>50</v>
      </c>
      <c r="B50" s="5" t="s">
        <v>192</v>
      </c>
      <c r="C50" s="4" t="s">
        <v>193</v>
      </c>
      <c r="D50" s="5" t="s">
        <v>174</v>
      </c>
      <c r="E50" s="5" t="s">
        <v>213</v>
      </c>
    </row>
  </sheetData>
  <autoFilter ref="A1:E50" xr:uid="{73467B32-5F16-4A13-B7DF-9A3649DD6074}"/>
  <sortState xmlns:xlrd2="http://schemas.microsoft.com/office/spreadsheetml/2017/richdata2" ref="A2:D50">
    <sortCondition ref="A2:A50"/>
  </sortState>
  <hyperlinks>
    <hyperlink ref="C23" r:id="rId1" display="https://thevanischool.org/" xr:uid="{902DAB0D-D4FA-4C43-8360-01E498558F9A}"/>
    <hyperlink ref="C24" r:id="rId2" display="https://stjudeshighschool.in/" xr:uid="{1AED659A-B9AC-4847-8424-FCB48594BEA8}"/>
    <hyperlink ref="C27" r:id="rId3" display="https://sdmedu.org/" xr:uid="{9B29C5B4-13A6-415C-B155-2E0956B41802}"/>
    <hyperlink ref="C30" r:id="rId4" display="https://yashodeepcop.com/" xr:uid="{3CE19E1A-6AE8-4AB1-8A25-583AE2ED4C2D}"/>
    <hyperlink ref="C31" r:id="rId5" display="https://bedshivle.org/" xr:uid="{17410541-0508-4FE2-BF6D-20BDE9005B7B}"/>
    <hyperlink ref="C33" r:id="rId6" display="https://coasaralgaon.com/" xr:uid="{BFF264E5-264E-4BB6-A94B-13F9F981BCA3}"/>
    <hyperlink ref="C36" r:id="rId7" display="https://svjdombivli.org/" xr:uid="{B89A8ADA-550B-47B2-8865-0F1278954352}"/>
    <hyperlink ref="C37" r:id="rId8" display="https://svnc.ac.in/" xr:uid="{83FD0755-9F9F-4D52-AE4D-2165673C667E}"/>
    <hyperlink ref="C38" r:id="rId9" display="https://rajarshishahuedu.com/" xr:uid="{8E7CEA19-5759-4627-829A-4313C396F9E9}"/>
    <hyperlink ref="C39" r:id="rId10" display="https://ies.edu/" xr:uid="{AC40C01E-0969-4F27-BBCF-FBC4C1B5B2D9}"/>
    <hyperlink ref="C43" r:id="rId11" display="https://smtthane.org/" xr:uid="{516F84CA-6A42-4369-B98E-BCF6EAEF742E}"/>
    <hyperlink ref="C44" r:id="rId12" display="https://smtthane.in/" xr:uid="{D8852922-1453-4194-B044-5B15BEAA871C}"/>
    <hyperlink ref="C50" r:id="rId13" display="https://vpmdahisar.com/" xr:uid="{9C4E921D-0923-44B2-A9BA-541363504833}"/>
    <hyperlink ref="C28" r:id="rId14" xr:uid="{5B684D42-5E58-4616-BF25-C92996DEEC2A}"/>
    <hyperlink ref="C34" r:id="rId15" xr:uid="{E57D9474-F1DA-477D-855B-34C4EDD5E35B}"/>
    <hyperlink ref="C45" r:id="rId16" xr:uid="{87FD0669-30DB-4D73-B813-6CA06F07C2F7}"/>
    <hyperlink ref="C11" r:id="rId17" xr:uid="{A15335DD-8916-4E17-A561-B02448F1592A}"/>
    <hyperlink ref="C22" r:id="rId18" xr:uid="{7345AD0A-6513-4EBF-9151-C904D266A50C}"/>
    <hyperlink ref="C18" r:id="rId19" xr:uid="{CAE32EAB-A9E2-410A-8065-8391FC1317A8}"/>
    <hyperlink ref="C16" r:id="rId20" xr:uid="{972FA808-F150-4A49-BB59-81F1A7910680}"/>
    <hyperlink ref="C15" r:id="rId21" xr:uid="{5C6DEE55-8ED4-4204-8C1F-7DDF5620EBCD}"/>
    <hyperlink ref="C14" r:id="rId22" xr:uid="{090D7606-9842-47EB-83A2-E45C79EFC7CD}"/>
    <hyperlink ref="C13" r:id="rId23" xr:uid="{B15D41F9-9DCD-448C-BA58-C480B38B94A0}"/>
    <hyperlink ref="C12" r:id="rId24" xr:uid="{91423BF8-FE56-4509-8389-10D1BE718052}"/>
    <hyperlink ref="C10" r:id="rId25" xr:uid="{E9E687DE-E526-4EDB-AE73-1E95821977C9}"/>
    <hyperlink ref="C9" r:id="rId26" xr:uid="{08EA9346-A761-4C77-8946-CF0B80CE484E}"/>
    <hyperlink ref="C8" r:id="rId27" xr:uid="{7F0CDA35-C43B-4044-B618-A0203F4C7CD9}"/>
    <hyperlink ref="C4" r:id="rId28" xr:uid="{68C20BDB-8E70-4D33-BD25-CFC5290F4833}"/>
    <hyperlink ref="C3" r:id="rId29" xr:uid="{A0243DEC-B993-4B78-BF3C-1F70D421F9D0}"/>
    <hyperlink ref="C20" r:id="rId30" display="https://aryabhattacollege.ac.in/" xr:uid="{50ABC887-8F08-48D7-9DB5-1F273BC01694}"/>
    <hyperlink ref="C19" r:id="rId31" display="https://mkdc.in/" xr:uid="{FD90B975-4D31-4BA3-B362-A058F90EF72C}"/>
    <hyperlink ref="C17" r:id="rId32" display="https://acscollege.in/" xr:uid="{E58854A2-7995-46CD-8D82-61F6E2376557}"/>
    <hyperlink ref="C7" r:id="rId33" display="https://ldsonawanecollege.com/" xr:uid="{9EC0CC59-8FF7-4BDD-8DCC-C45A78947FC5}"/>
    <hyperlink ref="C6" r:id="rId34" display="https://gcer.ac.in/" xr:uid="{B85A2475-3094-483E-8296-1ADEE28F13E1}"/>
    <hyperlink ref="C2" r:id="rId35" display="https://apcollege.in/" xr:uid="{38C6E1F0-942E-4E77-8AAC-BC77BBDE805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895A-34AD-465F-B89B-5680363EAA4F}">
  <dimension ref="B2:B5"/>
  <sheetViews>
    <sheetView workbookViewId="0">
      <selection activeCell="B8" sqref="B8"/>
    </sheetView>
  </sheetViews>
  <sheetFormatPr defaultRowHeight="14.4" x14ac:dyDescent="0.3"/>
  <sheetData>
    <row r="2" spans="2:2" x14ac:dyDescent="0.3">
      <c r="B2" s="1" t="s">
        <v>87</v>
      </c>
    </row>
    <row r="3" spans="2:2" x14ac:dyDescent="0.3">
      <c r="B3" s="1" t="s">
        <v>88</v>
      </c>
    </row>
    <row r="4" spans="2:2" x14ac:dyDescent="0.3">
      <c r="B4" s="1" t="s">
        <v>93</v>
      </c>
    </row>
    <row r="5" spans="2:2" x14ac:dyDescent="0.3">
      <c r="B5" s="1" t="s">
        <v>94</v>
      </c>
    </row>
  </sheetData>
  <hyperlinks>
    <hyperlink ref="B2" r:id="rId1" xr:uid="{B1B0AE66-E35D-41E0-A9EE-7D096EB45884}"/>
    <hyperlink ref="B3" r:id="rId2" xr:uid="{FEB107FA-C1F8-4801-8C86-9100D5D84AE5}"/>
    <hyperlink ref="B4" r:id="rId3" xr:uid="{84EEDF15-46AD-49D0-BB7A-AA88EA0AFF7A}"/>
    <hyperlink ref="B5" r:id="rId4" xr:uid="{02D6D811-234E-48CA-ABEB-BD3841227E3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Sheet5</vt:lpstr>
      <vt:lpstr>Sheet2</vt:lpstr>
      <vt:lpstr>Prompt</vt:lpstr>
      <vt:lpstr>list</vt:lpstr>
      <vt:lpstr>Sheet3</vt:lpstr>
      <vt:lpstr>competion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Parab</dc:creator>
  <cp:lastModifiedBy>Sachin Parab</cp:lastModifiedBy>
  <dcterms:created xsi:type="dcterms:W3CDTF">2026-07-29T07:05:02Z</dcterms:created>
  <dcterms:modified xsi:type="dcterms:W3CDTF">2026-08-10T13:04:36Z</dcterms:modified>
</cp:coreProperties>
</file>